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Overview" sheetId="1" state="visible" r:id="rId1"/>
    <sheet xmlns:r="http://schemas.openxmlformats.org/officeDocument/2006/relationships" name="Scenario Analysis" sheetId="2" state="visible" r:id="rId2"/>
    <sheet xmlns:r="http://schemas.openxmlformats.org/officeDocument/2006/relationships" name="Likelihood 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Scenario Likelihood by Country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'Scenario Analysis'!C1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'Scenario Analysis'!$A$2:$A$4</f>
            </numRef>
          </cat>
          <val>
            <numRef>
              <f>'Scenario Analysis'!$C$2:$C$4</f>
            </numRef>
          </val>
        </ser>
        <ser>
          <idx val="1"/>
          <order val="1"/>
          <tx>
            <strRef>
              <f>'Scenario Analysis'!D1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'Scenario Analysis'!$A$2:$A$4</f>
            </numRef>
          </cat>
          <val>
            <numRef>
              <f>'Scenario Analysis'!$D$2:$D$4</f>
            </numRef>
          </val>
        </ser>
        <ser>
          <idx val="2"/>
          <order val="2"/>
          <tx>
            <strRef>
              <f>'Scenario Analysis'!E1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'Scenario Analysis'!$A$2:$A$4</f>
            </numRef>
          </cat>
          <val>
            <numRef>
              <f>'Scenario Analysis'!$E$2:$E$4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Likelihood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Overall Geopolitical Risk Likelihood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'Likelihood Comparison'!C1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'Likelihood Comparison'!$A$2:$A$4</f>
            </numRef>
          </cat>
          <val>
            <numRef>
              <f>'Likelihood Comparison'!$C$2:$C$4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Likelihood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6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47" customWidth="1" min="3" max="3"/>
    <col width="47" customWidth="1" min="4" max="4"/>
    <col width="16" customWidth="1" min="5" max="5"/>
    <col width="47" customWidth="1" min="6" max="6"/>
    <col width="47" customWidth="1" min="7" max="7"/>
    <col width="47" customWidth="1" min="8" max="8"/>
  </cols>
  <sheetData>
    <row r="1">
      <c r="A1" s="1" t="inlineStr">
        <is>
          <t>Country</t>
        </is>
      </c>
      <c r="B1" s="1" t="inlineStr">
        <is>
          <t>Mineral</t>
        </is>
      </c>
      <c r="C1" s="1" t="inlineStr">
        <is>
          <t>Geography</t>
        </is>
      </c>
      <c r="D1" s="1" t="inlineStr">
        <is>
          <t>State &amp; Non-State Actors</t>
        </is>
      </c>
      <c r="E1" s="1" t="inlineStr">
        <is>
          <t>Likelihood (%)</t>
        </is>
      </c>
      <c r="F1" s="1" t="inlineStr">
        <is>
          <t>Velocity</t>
        </is>
      </c>
      <c r="G1" s="1" t="inlineStr">
        <is>
          <t>Impact</t>
        </is>
      </c>
      <c r="H1" s="1" t="inlineStr">
        <is>
          <t>Supply Chain</t>
        </is>
      </c>
    </row>
    <row r="2">
      <c r="A2" s="2" t="inlineStr">
        <is>
          <t>Mali</t>
        </is>
      </c>
      <c r="B2" s="2" t="inlineStr">
        <is>
          <t>Gold</t>
        </is>
      </c>
      <c r="C2" s="2" t="inlineStr">
        <is>
          <t>Landlocked West African nation; mining concentrated in Kayes, Sikasso and Koulikoro regions. Sahel climate with limited transport infrastructure linking mines to Bamako and export ports in Senegal/Côte d'Ivoire.</t>
        </is>
      </c>
      <c r="D2" s="2" t="inlineStr">
        <is>
          <t>Military transitional government (CNSP); Ministry of Mines; SOMILO (state mining entity). Non-state: JNIM &amp; ISGS armed groups; artisanal mining cooperatives; Wagner Group/Africa Corps.</t>
        </is>
      </c>
      <c r="E2" s="2" t="n">
        <v>72</v>
      </c>
      <c r="F2" s="2" t="inlineStr">
        <is>
          <t>High — political instability can escalate within weeks</t>
        </is>
      </c>
      <c r="G2" s="2" t="inlineStr">
        <is>
          <t>Severe — Mali is Africa's 3rd-largest gold producer</t>
        </is>
      </c>
      <c r="H2" s="2" t="inlineStr">
        <is>
          <t>Barrick Gold, B2Gold, Hummingbird Resources operate major mines. Gold exported via Dakar and Abidjan ports. Disruption affects ~70 tonnes/year of global supply.</t>
        </is>
      </c>
    </row>
    <row r="3">
      <c r="A3" s="2" t="inlineStr">
        <is>
          <t>DRC</t>
        </is>
      </c>
      <c r="B3" s="2" t="inlineStr">
        <is>
          <t>Cobalt</t>
        </is>
      </c>
      <c r="C3" s="2" t="inlineStr">
        <is>
          <t>Central African nation; cobalt mining concentrated in the Copperbelt (Katanga/Haut-Katanga &amp; Lualaba provinces). Tropical climate with poor road networks; exports via Dar es Salaam and Durban corridors.</t>
        </is>
      </c>
      <c r="D3" s="2" t="inlineStr">
        <is>
          <t>Presidency &amp; National Assembly; Gécamines (state mining company); Entreprise Générale du Cobalt (EGC). Non-state: M23, ADF and other armed groups in eastern provinces; Chinese-backed private mining firms; artisanal miners (ASM) — estimated 200k workers.</t>
        </is>
      </c>
      <c r="E3" s="2" t="n">
        <v>78</v>
      </c>
      <c r="F3" s="2" t="inlineStr">
        <is>
          <t>Very High — conflict zones can shut operations overnight</t>
        </is>
      </c>
      <c r="G3" s="2" t="inlineStr">
        <is>
          <t>Critical — DRC produces ~73% of global cobalt, essential for lithium-ion batteries</t>
        </is>
      </c>
      <c r="H3" s="2" t="inlineStr">
        <is>
          <t>CMOC, Glencore (Mutanda &amp; Kamoto), Chemaf supply global market. China refines &gt;80% of DRC cobalt. EV and electronics industries directly exposed.</t>
        </is>
      </c>
    </row>
    <row r="4">
      <c r="A4" s="2" t="inlineStr">
        <is>
          <t>Zimbabwe</t>
        </is>
      </c>
      <c r="B4" s="2" t="inlineStr">
        <is>
          <t>Platinum</t>
        </is>
      </c>
      <c r="C4" s="2" t="inlineStr">
        <is>
          <t>Southern African nation; platinum group metals (PGMs) mined on the Great Dyke geological formation stretching ~550 km. Semi-arid climate; road and rail links to Beira (Mozambique) and South African ports.</t>
        </is>
      </c>
      <c r="D4" s="2" t="inlineStr">
        <is>
          <t>ZANU-PF government; Ministry of Mines &amp; Mining Development; ZMDC (Zimbabwe Mining Development Corp). Non-state: opposition parties; war veterans associations; South African labour unions influencing cross-border workers.</t>
        </is>
      </c>
      <c r="E4" s="2" t="n">
        <v>58</v>
      </c>
      <c r="F4" s="2" t="inlineStr">
        <is>
          <t>Moderate — policy shifts typically signalled in advance</t>
        </is>
      </c>
      <c r="G4" s="2" t="inlineStr">
        <is>
          <t>High — Zimbabwe holds the world's 2nd-largest platinum reserves after South Africa</t>
        </is>
      </c>
      <c r="H4" s="2" t="inlineStr">
        <is>
          <t>Zimplats (Impala Platinum), Unki (Anglo American Platinum), Mimosa (Sibanye-Stillwater). PGMs critical for catalytic converters, hydrogen fuel cells and electronics.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1" customWidth="1" min="3" max="3"/>
    <col width="37" customWidth="1" min="4" max="4"/>
    <col width="47" customWidth="1" min="5" max="5"/>
  </cols>
  <sheetData>
    <row r="1">
      <c r="A1" s="1" t="inlineStr">
        <is>
          <t>Country</t>
        </is>
      </c>
      <c r="B1" s="1" t="inlineStr">
        <is>
          <t>Mineral</t>
        </is>
      </c>
      <c r="C1" s="1" t="inlineStr">
        <is>
          <t>Government controls all mines</t>
        </is>
      </c>
      <c r="D1" s="1" t="inlineStr">
        <is>
          <t>Interest rate &amp; legislative changes</t>
        </is>
      </c>
      <c r="E1" s="1" t="inlineStr">
        <is>
          <t>Infrastructure requirement for intl companies</t>
        </is>
      </c>
    </row>
    <row r="2">
      <c r="A2" s="2" t="inlineStr">
        <is>
          <t>Mali</t>
        </is>
      </c>
      <c r="B2" s="2" t="inlineStr">
        <is>
          <t>Gold</t>
        </is>
      </c>
      <c r="C2" s="2" t="n">
        <v>65</v>
      </c>
      <c r="D2" s="2" t="n">
        <v>55</v>
      </c>
      <c r="E2" s="2" t="n">
        <v>70</v>
      </c>
    </row>
    <row r="3">
      <c r="A3" s="2" t="inlineStr">
        <is>
          <t>DRC</t>
        </is>
      </c>
      <c r="B3" s="2" t="inlineStr">
        <is>
          <t>Cobalt</t>
        </is>
      </c>
      <c r="C3" s="2" t="n">
        <v>75</v>
      </c>
      <c r="D3" s="2" t="n">
        <v>60</v>
      </c>
      <c r="E3" s="2" t="n">
        <v>80</v>
      </c>
    </row>
    <row r="4">
      <c r="A4" s="2" t="inlineStr">
        <is>
          <t>Zimbabwe</t>
        </is>
      </c>
      <c r="B4" s="2" t="inlineStr">
        <is>
          <t>Platinum</t>
        </is>
      </c>
      <c r="C4" s="2" t="n">
        <v>50</v>
      </c>
      <c r="D4" s="2" t="n">
        <v>65</v>
      </c>
      <c r="E4" s="2" t="n">
        <v>55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</cols>
  <sheetData>
    <row r="1">
      <c r="A1" s="1" t="inlineStr">
        <is>
          <t>Country</t>
        </is>
      </c>
      <c r="B1" s="1" t="inlineStr">
        <is>
          <t>Mineral</t>
        </is>
      </c>
      <c r="C1" s="1" t="inlineStr">
        <is>
          <t>Overall Likelihood (%)</t>
        </is>
      </c>
    </row>
    <row r="2">
      <c r="A2" s="2" t="inlineStr">
        <is>
          <t>Mali</t>
        </is>
      </c>
      <c r="B2" s="2" t="inlineStr">
        <is>
          <t>Gold</t>
        </is>
      </c>
      <c r="C2" s="2" t="n">
        <v>72</v>
      </c>
    </row>
    <row r="3">
      <c r="A3" s="2" t="inlineStr">
        <is>
          <t>DRC</t>
        </is>
      </c>
      <c r="B3" s="2" t="inlineStr">
        <is>
          <t>Cobalt</t>
        </is>
      </c>
      <c r="C3" s="2" t="n">
        <v>78</v>
      </c>
    </row>
    <row r="4">
      <c r="A4" s="2" t="inlineStr">
        <is>
          <t>Zimbabwe</t>
        </is>
      </c>
      <c r="B4" s="2" t="inlineStr">
        <is>
          <t>Platinum</t>
        </is>
      </c>
      <c r="C4" s="2" t="n">
        <v>58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2026-03-10T18:40:16Z</dcterms:created>
  <dcterms:modified xmlns:dcterms="http://purl.org/dc/terms/" xmlns:xsi="http://www.w3.org/2001/XMLSchema-instance" xsi:type="dcterms:W3CDTF">2026-03-10T18:40:16Z</dcterms:modified>
</cp:coreProperties>
</file>